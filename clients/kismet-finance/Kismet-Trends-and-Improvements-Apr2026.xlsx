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projects\knowledge2026\"/>
    </mc:Choice>
  </mc:AlternateContent>
  <xr:revisionPtr revIDLastSave="0" documentId="13_ncr:1_{EF794E12-6541-438D-BF32-191E400590A0}" xr6:coauthVersionLast="47" xr6:coauthVersionMax="47" xr10:uidLastSave="{00000000-0000-0000-0000-000000000000}"/>
  <bookViews>
    <workbookView xWindow="54975" yWindow="240" windowWidth="20220" windowHeight="20625" tabRatio="500" xr2:uid="{00000000-000D-0000-FFFF-FFFF00000000}"/>
  </bookViews>
  <sheets>
    <sheet name="Pipeline Trends" sheetId="1" r:id="rId1"/>
    <sheet name="Rejection Trend" sheetId="2" r:id="rId2"/>
    <sheet name="Areas for Improvement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C7" i="2"/>
  <c r="C6" i="2"/>
  <c r="F17" i="1"/>
  <c r="C17" i="1"/>
  <c r="B17" i="1"/>
  <c r="E9" i="1"/>
  <c r="D9" i="1"/>
  <c r="C9" i="1"/>
  <c r="B9" i="1"/>
  <c r="E8" i="1"/>
  <c r="D8" i="1"/>
  <c r="E7" i="1"/>
  <c r="D7" i="1"/>
  <c r="E6" i="1"/>
  <c r="D6" i="1"/>
  <c r="E5" i="1"/>
  <c r="D5" i="1"/>
</calcChain>
</file>

<file path=xl/sharedStrings.xml><?xml version="1.0" encoding="utf-8"?>
<sst xmlns="http://schemas.openxmlformats.org/spreadsheetml/2006/main" count="160" uniqueCount="133">
  <si>
    <t>Kismet Finance — Pipeline Trends (Feb 20 – Apr 2, 2026)</t>
  </si>
  <si>
    <t>Source: DQ Status Tally (cumulative daily snapshots). All figures = pipeline state on that date.</t>
  </si>
  <si>
    <t>Consultant</t>
  </si>
  <si>
    <t>Feb 20 Pipeline</t>
  </si>
  <si>
    <t>Apr 2 Pipeline</t>
  </si>
  <si>
    <t>Change</t>
  </si>
  <si>
    <t>Growth %</t>
  </si>
  <si>
    <t>Trend Note</t>
  </si>
  <si>
    <t>Josh (Coach)</t>
  </si>
  <si>
    <t>Mature — leads cycling to Shane for closing</t>
  </si>
  <si>
    <t>DJ (Door-knocker)</t>
  </si>
  <si>
    <t>Surging — 0→58 in 5 weeks, matched Josh</t>
  </si>
  <si>
    <t>Lea (Door-knocker)</t>
  </si>
  <si>
    <t>Frozen — static 15+ days, departing</t>
  </si>
  <si>
    <t>Shane (Closer)</t>
  </si>
  <si>
    <t>Small but growing; closes off-system</t>
  </si>
  <si>
    <t>TOTAL</t>
  </si>
  <si>
    <t>Pipeline growing — driven by DJ onboarding</t>
  </si>
  <si>
    <t>Pipeline Composition — Apr 2, 2026 Snapshot</t>
  </si>
  <si>
    <t>Total Leads</t>
  </si>
  <si>
    <t>Warm Leads</t>
  </si>
  <si>
    <t>Discovery+</t>
  </si>
  <si>
    <t>Sale Stage</t>
  </si>
  <si>
    <t>Rejection %</t>
  </si>
  <si>
    <t>Multiple</t>
  </si>
  <si>
    <t>Data entry only</t>
  </si>
  <si>
    <t>2 (FA on Apr 2)</t>
  </si>
  <si>
    <t>None yet</t>
  </si>
  <si>
    <t>Some</t>
  </si>
  <si>
    <t>None</t>
  </si>
  <si>
    <t>Closes off-Notion</t>
  </si>
  <si>
    <t>—</t>
  </si>
  <si>
    <t>Shane closes; Josh records</t>
  </si>
  <si>
    <t>Rejection Rate Trend Analysis</t>
  </si>
  <si>
    <t>Within-snapshot ratios — valid metric. Rejection = Fake Number + Not Interested + Future Prospects + DNQ.</t>
  </si>
  <si>
    <t>Period</t>
  </si>
  <si>
    <t>Rejection Rate</t>
  </si>
  <si>
    <t>Change vs Baseline</t>
  </si>
  <si>
    <t>Interpretation</t>
  </si>
  <si>
    <t>Late Feb (Feb 20–23)</t>
  </si>
  <si>
    <t>Baseline — healthy, ~1 in 6 rejected</t>
  </si>
  <si>
    <t>Early Mar (Feb 24 – Mar 10)</t>
  </si>
  <si>
    <t>Sharp jump — lead quality shift or territory exhaustion beginning</t>
  </si>
  <si>
    <t>Late Mar (Mar 20–31)</t>
  </si>
  <si>
    <t>Peak — nearly half rejected. Josh notes 'warm leads cooling across board'</t>
  </si>
  <si>
    <t>Early Apr (Apr 1–2)</t>
  </si>
  <si>
    <t>Slight improvement but still 2.5x baseline. Structural or seasonal?</t>
  </si>
  <si>
    <t>Possible Root Causes (requires investigation)</t>
  </si>
  <si>
    <t>Hypothesis</t>
  </si>
  <si>
    <t>Likelihood</t>
  </si>
  <si>
    <t>Investigation Needed</t>
  </si>
  <si>
    <t>Territory Exhaustion</t>
  </si>
  <si>
    <t>HIGH</t>
  </si>
  <si>
    <t>Same suburbs re-canvassed; declining fresh leads. Territory management system (Phase 3) not built yet.</t>
  </si>
  <si>
    <t>Seasonal Effect</t>
  </si>
  <si>
    <t>MEDIUM</t>
  </si>
  <si>
    <t>Mar–Apr may see lower receptivity. Need historical comparison (no prior data available).</t>
  </si>
  <si>
    <t>Categorisation Drift</t>
  </si>
  <si>
    <t>Has the definition of 'rejection' changed? Are door-knockers categorising differently over time?</t>
  </si>
  <si>
    <t>Door-knock Quality</t>
  </si>
  <si>
    <t>LOW-MED</t>
  </si>
  <si>
    <t>DJ is new; Lea is disengaged. Could be declining technique. Josh's coaching should counteract this.</t>
  </si>
  <si>
    <t>Kismet Finance — Key Areas for Improvement</t>
  </si>
  <si>
    <t>Prioritised by impact × urgency. Status as of April 7, 2026.</t>
  </si>
  <si>
    <t>Area</t>
  </si>
  <si>
    <t>Priority</t>
  </si>
  <si>
    <t>Owner</t>
  </si>
  <si>
    <t>Timeline</t>
  </si>
  <si>
    <t>Detail / Action Required</t>
  </si>
  <si>
    <t>Shane's CRM Adoption</t>
  </si>
  <si>
    <t>CRITICAL</t>
  </si>
  <si>
    <t>Shane + Kevin</t>
  </si>
  <si>
    <t>Week 1</t>
  </si>
  <si>
    <t>Shane closes deals off-Notion. Sales are invisible to the system. Build a Fillout form → Notion push to minimise friction. Even 5 min/day logging deal stages unlocks close-rate measurement.</t>
  </si>
  <si>
    <t>Lea's Lead Redistribution</t>
  </si>
  <si>
    <t>Josh</t>
  </si>
  <si>
    <t>Day 1</t>
  </si>
  <si>
    <t>28 leads frozen 15+ days. Every day = further decay. Reassign to DJ by territory. 1-day admin task with immediate value preservation.</t>
  </si>
  <si>
    <t>Financial Data (P&amp;L / Revenue)</t>
  </si>
  <si>
    <t>Josh + Kevin</t>
  </si>
  <si>
    <t>Weeks 1–4</t>
  </si>
  <si>
    <t>All financial templates blank ($0). Cannot verify ROI, substantiate grants, or measure revenue. Populate from Shane's actual closed deals.</t>
  </si>
  <si>
    <t>Rejection Rate (39%, was 16%)</t>
  </si>
  <si>
    <t>Weeks 3–6</t>
  </si>
  <si>
    <t>2.5x baseline. Analyse DQ snapshots for territory exhaustion patterns. Build territory management system (Phase 3). Deploy voice agent as alternative channel.</t>
  </si>
  <si>
    <t>DJ → Handoff Quality</t>
  </si>
  <si>
    <t>Weeks 2–4</t>
  </si>
  <si>
    <t>DJ ramping fast (0→58) but needs to qualify leads to handoff-ready for Shane. FA conversions on Apr 2 are promising. 3x/week coaching sessions with Josh.</t>
  </si>
  <si>
    <t>Phase 3 Delivery (0%)</t>
  </si>
  <si>
    <t>Kevin</t>
  </si>
  <si>
    <t>Weeks 3–12</t>
  </si>
  <si>
    <t>50+ tasks at 0%. Prioritise: territory management, mobile field forms, Ghost Detector. Don't gate on grant — start highest-impact items.</t>
  </si>
  <si>
    <t>Phase 1 Overdue Items</t>
  </si>
  <si>
    <t>Weeks 2–6</t>
  </si>
  <si>
    <t>Phase 1 end date was Jan 2026. AI training data repo, rollup fields, GCP/Vertex AI still open. Close these before scaling Phase 3.</t>
  </si>
  <si>
    <t>Grant Application (LCF)</t>
  </si>
  <si>
    <t>Kevin + Shane</t>
  </si>
  <si>
    <t>Weeks 6–12</t>
  </si>
  <si>
    <t>Up to $50k at 50% match. Need: populated financial data, DQ baseline KPIs, Phase 3 project plan. Round 2 timing uncertain.</t>
  </si>
  <si>
    <t>Lea Replacement / Recruitment</t>
  </si>
  <si>
    <t>Shane + Josh</t>
  </si>
  <si>
    <t>Weeks 4–8</t>
  </si>
  <si>
    <t>Door-knock capacity drops when Lea leaves. DJ can absorb some but is part-time (uni). Consider recruiting another uni student.</t>
  </si>
  <si>
    <t>Resale Pipeline (Stuart et al)</t>
  </si>
  <si>
    <t>LOW</t>
  </si>
  <si>
    <t>Weeks 8–12</t>
  </si>
  <si>
    <t>Voice agent resale to Stuart, property devs, brokers ($12k–$35k/yr potential). Don't pursue until internal system is stable.</t>
  </si>
  <si>
    <t>Quick Scorecard</t>
  </si>
  <si>
    <t>Metric</t>
  </si>
  <si>
    <t>Value</t>
  </si>
  <si>
    <t>Context</t>
  </si>
  <si>
    <t>Status</t>
  </si>
  <si>
    <t>Pipeline Growth</t>
  </si>
  <si>
    <t>+47%</t>
  </si>
  <si>
    <t>107 → 157 in 6 weeks</t>
  </si>
  <si>
    <t>POSITIVE</t>
  </si>
  <si>
    <t>39%</t>
  </si>
  <si>
    <t>Up from 16% baseline (2.5x)</t>
  </si>
  <si>
    <t>NEGATIVE</t>
  </si>
  <si>
    <t>CRM Data Completeness</t>
  </si>
  <si>
    <t>~60%</t>
  </si>
  <si>
    <t>Shane's sales activity missing entirely</t>
  </si>
  <si>
    <t>Financial Data</t>
  </si>
  <si>
    <t>0%</t>
  </si>
  <si>
    <t>All templates blank — no revenue accounting</t>
  </si>
  <si>
    <t>Phase 3 Progress</t>
  </si>
  <si>
    <t>50+ tasks not started</t>
  </si>
  <si>
    <t>BEHIND</t>
  </si>
  <si>
    <t>DJ Ramp</t>
  </si>
  <si>
    <t>On track</t>
  </si>
  <si>
    <t>0→58 leads, FA conversion started</t>
  </si>
  <si>
    <t>Single Closer Risk</t>
  </si>
  <si>
    <t>Shane = only closer, off-system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</si>
</sst>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B4F72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721C24"/>
      <name val="Arial"/>
      <family val="2"/>
    </font>
    <font>
      <sz val="10"/>
      <color rgb="FF721C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155724"/>
      </patternFill>
    </fill>
    <fill>
      <patternFill patternType="solid">
        <fgColor rgb="FFD4EDDA"/>
        <bgColor rgb="FFD9D9D9"/>
      </patternFill>
    </fill>
    <fill>
      <patternFill patternType="solid">
        <fgColor rgb="FFFFF3CD"/>
        <bgColor rgb="FFF9F9F9"/>
      </patternFill>
    </fill>
    <fill>
      <patternFill patternType="solid">
        <fgColor rgb="FFF8D7DA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CCCCC"/>
      <rgbColor rgb="FF878787"/>
      <rgbColor rgb="FF9999FF"/>
      <rgbColor rgb="FF993366"/>
      <rgbColor rgb="FFFFF3CD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AED6F1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E74C3C"/>
      <rgbColor rgb="FF666666"/>
      <rgbColor rgb="FF969696"/>
      <rgbColor rgb="FF1B4F72"/>
      <rgbColor rgb="FF339966"/>
      <rgbColor rgb="FF15572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Pipeline: Feb 20 vs Apr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'Pipeline Trends'!$B$4</c:f>
              <c:strCache>
                <c:ptCount val="1"/>
                <c:pt idx="0">
                  <c:v>Feb 20 Pipeline</c:v>
                </c:pt>
              </c:strCache>
            </c:strRef>
          </c:tx>
          <c:spPr>
            <a:solidFill>
              <a:srgbClr val="AED6F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'Pipeline Trends'!$A$5:$A$8</c:f>
              <c:strCache>
                <c:ptCount val="4"/>
                <c:pt idx="0">
                  <c:v>Josh (Coach)</c:v>
                </c:pt>
                <c:pt idx="1">
                  <c:v>DJ (Door-knocker)</c:v>
                </c:pt>
                <c:pt idx="2">
                  <c:v>Lea (Door-knocker)</c:v>
                </c:pt>
                <c:pt idx="3">
                  <c:v>Shane (Closer)</c:v>
                </c:pt>
              </c:strCache>
            </c:strRef>
          </c:cat>
          <c:val>
            <c:numRef>
              <c:f>'Pipeline Trends'!$B$5:$B$8</c:f>
              <c:numCache>
                <c:formatCode>#,##0</c:formatCode>
                <c:ptCount val="4"/>
                <c:pt idx="0">
                  <c:v>65</c:v>
                </c:pt>
                <c:pt idx="1">
                  <c:v>0</c:v>
                </c:pt>
                <c:pt idx="2">
                  <c:v>26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E-43CE-B0BC-529F5B9693A8}"/>
            </c:ext>
          </c:extLst>
        </c:ser>
        <c:ser>
          <c:idx val="1"/>
          <c:order val="1"/>
          <c:tx>
            <c:strRef>
              <c:f>'Pipeline Trends'!$C$4</c:f>
              <c:strCache>
                <c:ptCount val="1"/>
                <c:pt idx="0">
                  <c:v>Apr 2 Pipeline</c:v>
                </c:pt>
              </c:strCache>
            </c:strRef>
          </c:tx>
          <c:spPr>
            <a:solidFill>
              <a:srgbClr val="1B4F7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'Pipeline Trends'!$A$5:$A$8</c:f>
              <c:strCache>
                <c:ptCount val="4"/>
                <c:pt idx="0">
                  <c:v>Josh (Coach)</c:v>
                </c:pt>
                <c:pt idx="1">
                  <c:v>DJ (Door-knocker)</c:v>
                </c:pt>
                <c:pt idx="2">
                  <c:v>Lea (Door-knocker)</c:v>
                </c:pt>
                <c:pt idx="3">
                  <c:v>Shane (Closer)</c:v>
                </c:pt>
              </c:strCache>
            </c:strRef>
          </c:cat>
          <c:val>
            <c:numRef>
              <c:f>'Pipeline Trends'!$C$5:$C$8</c:f>
              <c:numCache>
                <c:formatCode>#,##0</c:formatCode>
                <c:ptCount val="4"/>
                <c:pt idx="0">
                  <c:v>58</c:v>
                </c:pt>
                <c:pt idx="1">
                  <c:v>58</c:v>
                </c:pt>
                <c:pt idx="2">
                  <c:v>28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E-43CE-B0BC-529F5B96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46496"/>
        <c:axId val="1139115"/>
      </c:barChart>
      <c:catAx>
        <c:axId val="65546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Consultant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139115"/>
        <c:crosses val="autoZero"/>
        <c:auto val="1"/>
        <c:lblAlgn val="ctr"/>
        <c:lblOffset val="100"/>
        <c:noMultiLvlLbl val="0"/>
      </c:catAx>
      <c:valAx>
        <c:axId val="1139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5464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Rejection Rate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'Rejection Trend'!$B$4</c:f>
              <c:strCache>
                <c:ptCount val="1"/>
                <c:pt idx="0">
                  <c:v>Rejection Rate</c:v>
                </c:pt>
              </c:strCache>
            </c:strRef>
          </c:tx>
          <c:spPr>
            <a:ln w="2808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'Rejection Trend'!$A$5:$A$8</c:f>
              <c:strCache>
                <c:ptCount val="4"/>
                <c:pt idx="0">
                  <c:v>Late Feb (Feb 20–23)</c:v>
                </c:pt>
                <c:pt idx="1">
                  <c:v>Early Mar (Feb 24 – Mar 10)</c:v>
                </c:pt>
                <c:pt idx="2">
                  <c:v>Late Mar (Mar 20–31)</c:v>
                </c:pt>
                <c:pt idx="3">
                  <c:v>Early Apr (Apr 1–2)</c:v>
                </c:pt>
              </c:strCache>
            </c:strRef>
          </c:cat>
          <c:val>
            <c:numRef>
              <c:f>'Rejection Trend'!$B$5:$B$8</c:f>
              <c:numCache>
                <c:formatCode>0.0%</c:formatCode>
                <c:ptCount val="4"/>
                <c:pt idx="0">
                  <c:v>0.16</c:v>
                </c:pt>
                <c:pt idx="1">
                  <c:v>0.3</c:v>
                </c:pt>
                <c:pt idx="2">
                  <c:v>0.45</c:v>
                </c:pt>
                <c:pt idx="3">
                  <c:v>0.39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30-4185-ADC8-8413DF42E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435960"/>
        <c:axId val="55048083"/>
      </c:lineChart>
      <c:catAx>
        <c:axId val="5443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048083"/>
        <c:crosses val="autoZero"/>
        <c:auto val="1"/>
        <c:lblAlgn val="ctr"/>
        <c:lblOffset val="100"/>
        <c:noMultiLvlLbl val="0"/>
      </c:catAx>
      <c:valAx>
        <c:axId val="55048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Rejection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4359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1404720</xdr:colOff>
      <xdr:row>36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2673360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15" zoomScaleNormal="115" workbookViewId="0">
      <selection activeCell="A12" sqref="A12:F17"/>
    </sheetView>
  </sheetViews>
  <sheetFormatPr defaultColWidth="8.7109375" defaultRowHeight="15" x14ac:dyDescent="0.25"/>
  <cols>
    <col min="1" max="1" width="18" customWidth="1"/>
    <col min="2" max="4" width="14" customWidth="1"/>
    <col min="5" max="5" width="12" customWidth="1"/>
    <col min="6" max="6" width="38" customWidth="1"/>
  </cols>
  <sheetData>
    <row r="1" spans="1:6" ht="18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1"/>
      <c r="C2" s="1"/>
      <c r="D2" s="1"/>
      <c r="E2" s="1"/>
      <c r="F2" s="1"/>
    </row>
    <row r="4" spans="1:6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5.5" x14ac:dyDescent="0.25">
      <c r="A5" s="4" t="s">
        <v>8</v>
      </c>
      <c r="B5" s="5">
        <v>65</v>
      </c>
      <c r="C5" s="5">
        <v>58</v>
      </c>
      <c r="D5" s="5">
        <f>C5-B5</f>
        <v>-7</v>
      </c>
      <c r="E5" s="6">
        <f>IF(B5=0,"New",C5/B5-1)</f>
        <v>-0.10769230769230764</v>
      </c>
      <c r="F5" s="7" t="s">
        <v>9</v>
      </c>
    </row>
    <row r="6" spans="1:6" ht="25.5" x14ac:dyDescent="0.25">
      <c r="A6" s="8" t="s">
        <v>10</v>
      </c>
      <c r="B6" s="9">
        <v>0</v>
      </c>
      <c r="C6" s="9">
        <v>58</v>
      </c>
      <c r="D6" s="9">
        <f>C6-B6</f>
        <v>58</v>
      </c>
      <c r="E6" s="10" t="str">
        <f>IF(B6=0,"New",C6/B6-1)</f>
        <v>New</v>
      </c>
      <c r="F6" s="11" t="s">
        <v>11</v>
      </c>
    </row>
    <row r="7" spans="1:6" ht="25.5" x14ac:dyDescent="0.25">
      <c r="A7" s="12" t="s">
        <v>12</v>
      </c>
      <c r="B7" s="13">
        <v>26</v>
      </c>
      <c r="C7" s="13">
        <v>28</v>
      </c>
      <c r="D7" s="13">
        <f>C7-B7</f>
        <v>2</v>
      </c>
      <c r="E7" s="14">
        <f>IF(B7=0,"New",C7/B7-1)</f>
        <v>7.6923076923076872E-2</v>
      </c>
      <c r="F7" s="15" t="s">
        <v>13</v>
      </c>
    </row>
    <row r="8" spans="1:6" x14ac:dyDescent="0.25">
      <c r="A8" s="4" t="s">
        <v>14</v>
      </c>
      <c r="B8" s="5">
        <v>1</v>
      </c>
      <c r="C8" s="5">
        <v>13</v>
      </c>
      <c r="D8" s="5">
        <f>C8-B8</f>
        <v>12</v>
      </c>
      <c r="E8" s="6">
        <f>IF(B8=0,"New",C8/B8-1)</f>
        <v>12</v>
      </c>
      <c r="F8" s="7" t="s">
        <v>15</v>
      </c>
    </row>
    <row r="9" spans="1:6" ht="25.5" x14ac:dyDescent="0.25">
      <c r="A9" s="4" t="s">
        <v>16</v>
      </c>
      <c r="B9" s="16">
        <f>SUM(B5:B8)</f>
        <v>92</v>
      </c>
      <c r="C9" s="16">
        <f>SUM(C5:C8)</f>
        <v>157</v>
      </c>
      <c r="D9" s="16">
        <f>C9-B9</f>
        <v>65</v>
      </c>
      <c r="E9" s="17">
        <f>C9/B9-1</f>
        <v>0.70652173913043481</v>
      </c>
      <c r="F9" s="4" t="s">
        <v>17</v>
      </c>
    </row>
    <row r="11" spans="1:6" x14ac:dyDescent="0.25">
      <c r="A11" s="1" t="s">
        <v>18</v>
      </c>
      <c r="B11" s="1"/>
      <c r="C11" s="1"/>
      <c r="D11" s="1"/>
      <c r="E11" s="1"/>
      <c r="F11" s="1"/>
    </row>
    <row r="12" spans="1:6" x14ac:dyDescent="0.25">
      <c r="A12" s="3" t="s">
        <v>2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</row>
    <row r="13" spans="1:6" ht="25.5" x14ac:dyDescent="0.25">
      <c r="A13" s="4" t="s">
        <v>8</v>
      </c>
      <c r="B13" s="5">
        <v>58</v>
      </c>
      <c r="C13" s="5">
        <v>20</v>
      </c>
      <c r="D13" s="7" t="s">
        <v>24</v>
      </c>
      <c r="E13" s="7" t="s">
        <v>25</v>
      </c>
      <c r="F13" s="6">
        <v>0.36</v>
      </c>
    </row>
    <row r="14" spans="1:6" x14ac:dyDescent="0.25">
      <c r="A14" s="8" t="s">
        <v>10</v>
      </c>
      <c r="B14" s="9">
        <v>58</v>
      </c>
      <c r="C14" s="9">
        <v>20</v>
      </c>
      <c r="D14" s="11" t="s">
        <v>26</v>
      </c>
      <c r="E14" s="11" t="s">
        <v>27</v>
      </c>
      <c r="F14" s="10">
        <v>0.32</v>
      </c>
    </row>
    <row r="15" spans="1:6" ht="25.5" x14ac:dyDescent="0.25">
      <c r="A15" s="12" t="s">
        <v>12</v>
      </c>
      <c r="B15" s="13">
        <v>28</v>
      </c>
      <c r="C15" s="13">
        <v>8</v>
      </c>
      <c r="D15" s="15" t="s">
        <v>28</v>
      </c>
      <c r="E15" s="15" t="s">
        <v>29</v>
      </c>
      <c r="F15" s="14">
        <v>0.4</v>
      </c>
    </row>
    <row r="16" spans="1:6" ht="25.5" x14ac:dyDescent="0.25">
      <c r="A16" s="4" t="s">
        <v>14</v>
      </c>
      <c r="B16" s="5">
        <v>13</v>
      </c>
      <c r="C16" s="5">
        <v>3</v>
      </c>
      <c r="D16" s="7" t="s">
        <v>28</v>
      </c>
      <c r="E16" s="7" t="s">
        <v>30</v>
      </c>
      <c r="F16" s="6">
        <v>0.42</v>
      </c>
    </row>
    <row r="17" spans="1:6" ht="38.25" x14ac:dyDescent="0.25">
      <c r="A17" s="4" t="s">
        <v>16</v>
      </c>
      <c r="B17" s="16">
        <f>SUM(B13:B16)</f>
        <v>157</v>
      </c>
      <c r="C17" s="16">
        <f>SUM(C13:C16)</f>
        <v>51</v>
      </c>
      <c r="D17" s="4" t="s">
        <v>31</v>
      </c>
      <c r="E17" s="4" t="s">
        <v>32</v>
      </c>
      <c r="F17" s="17">
        <f>AVERAGE(F13:F16)</f>
        <v>0.375</v>
      </c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Normal="100" workbookViewId="0">
      <selection sqref="A1:D1"/>
    </sheetView>
  </sheetViews>
  <sheetFormatPr defaultColWidth="8.7109375" defaultRowHeight="15" x14ac:dyDescent="0.25"/>
  <cols>
    <col min="1" max="1" width="22" customWidth="1"/>
    <col min="2" max="3" width="16" customWidth="1"/>
    <col min="4" max="4" width="42" customWidth="1"/>
  </cols>
  <sheetData>
    <row r="1" spans="1:4" ht="18" x14ac:dyDescent="0.25">
      <c r="A1" s="2" t="s">
        <v>33</v>
      </c>
      <c r="B1" s="2"/>
      <c r="C1" s="2"/>
      <c r="D1" s="2"/>
    </row>
    <row r="2" spans="1:4" x14ac:dyDescent="0.25">
      <c r="A2" s="1" t="s">
        <v>34</v>
      </c>
      <c r="B2" s="1"/>
      <c r="C2" s="1"/>
      <c r="D2" s="1"/>
    </row>
    <row r="4" spans="1:4" ht="30" x14ac:dyDescent="0.25">
      <c r="A4" s="3" t="s">
        <v>35</v>
      </c>
      <c r="B4" s="3" t="s">
        <v>36</v>
      </c>
      <c r="C4" s="3" t="s">
        <v>37</v>
      </c>
      <c r="D4" s="3" t="s">
        <v>38</v>
      </c>
    </row>
    <row r="5" spans="1:4" x14ac:dyDescent="0.25">
      <c r="A5" s="4" t="s">
        <v>39</v>
      </c>
      <c r="B5" s="6">
        <v>0.16</v>
      </c>
      <c r="C5" s="6">
        <v>0</v>
      </c>
      <c r="D5" s="7" t="s">
        <v>40</v>
      </c>
    </row>
    <row r="6" spans="1:4" ht="25.5" x14ac:dyDescent="0.25">
      <c r="A6" s="12" t="s">
        <v>41</v>
      </c>
      <c r="B6" s="14">
        <v>0.3</v>
      </c>
      <c r="C6" s="14">
        <f>B6-B5</f>
        <v>0.13999999999999999</v>
      </c>
      <c r="D6" s="15" t="s">
        <v>42</v>
      </c>
    </row>
    <row r="7" spans="1:4" ht="25.5" x14ac:dyDescent="0.25">
      <c r="A7" s="18" t="s">
        <v>43</v>
      </c>
      <c r="B7" s="19">
        <v>0.45</v>
      </c>
      <c r="C7" s="19">
        <f>B7-B5</f>
        <v>0.29000000000000004</v>
      </c>
      <c r="D7" s="20" t="s">
        <v>44</v>
      </c>
    </row>
    <row r="8" spans="1:4" ht="25.5" x14ac:dyDescent="0.25">
      <c r="A8" s="12" t="s">
        <v>45</v>
      </c>
      <c r="B8" s="14">
        <v>0.39</v>
      </c>
      <c r="C8" s="14">
        <f>B8-B5</f>
        <v>0.23</v>
      </c>
      <c r="D8" s="15" t="s">
        <v>46</v>
      </c>
    </row>
    <row r="27" spans="1:4" x14ac:dyDescent="0.25">
      <c r="A27" s="1" t="s">
        <v>47</v>
      </c>
      <c r="B27" s="1"/>
      <c r="C27" s="1"/>
      <c r="D27" s="1"/>
    </row>
    <row r="28" spans="1:4" ht="30" x14ac:dyDescent="0.25">
      <c r="A28" s="3" t="s">
        <v>48</v>
      </c>
      <c r="B28" s="3" t="s">
        <v>49</v>
      </c>
      <c r="C28" s="3" t="s">
        <v>50</v>
      </c>
    </row>
    <row r="29" spans="1:4" ht="89.25" x14ac:dyDescent="0.25">
      <c r="A29" s="4" t="s">
        <v>51</v>
      </c>
      <c r="B29" s="18" t="s">
        <v>52</v>
      </c>
      <c r="C29" s="7" t="s">
        <v>53</v>
      </c>
    </row>
    <row r="30" spans="1:4" ht="76.5" x14ac:dyDescent="0.25">
      <c r="A30" s="4" t="s">
        <v>54</v>
      </c>
      <c r="B30" s="12" t="s">
        <v>55</v>
      </c>
      <c r="C30" s="7" t="s">
        <v>56</v>
      </c>
    </row>
    <row r="31" spans="1:4" ht="89.25" x14ac:dyDescent="0.25">
      <c r="A31" s="4" t="s">
        <v>57</v>
      </c>
      <c r="B31" s="12" t="s">
        <v>55</v>
      </c>
      <c r="C31" s="7" t="s">
        <v>58</v>
      </c>
    </row>
    <row r="32" spans="1:4" ht="89.25" x14ac:dyDescent="0.25">
      <c r="A32" s="4" t="s">
        <v>59</v>
      </c>
      <c r="B32" s="4" t="s">
        <v>60</v>
      </c>
      <c r="C32" s="7" t="s">
        <v>61</v>
      </c>
    </row>
  </sheetData>
  <mergeCells count="3">
    <mergeCell ref="A1:D1"/>
    <mergeCell ref="A2:D2"/>
    <mergeCell ref="A27:D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2" width="12" customWidth="1"/>
    <col min="3" max="4" width="14" customWidth="1"/>
    <col min="5" max="5" width="40" customWidth="1"/>
  </cols>
  <sheetData>
    <row r="1" spans="1:5" ht="18" x14ac:dyDescent="0.25">
      <c r="A1" s="2" t="s">
        <v>62</v>
      </c>
      <c r="B1" s="2"/>
      <c r="C1" s="2"/>
      <c r="D1" s="2"/>
      <c r="E1" s="2"/>
    </row>
    <row r="2" spans="1:5" x14ac:dyDescent="0.25">
      <c r="A2" s="1" t="s">
        <v>63</v>
      </c>
      <c r="B2" s="1"/>
      <c r="C2" s="1"/>
      <c r="D2" s="1"/>
      <c r="E2" s="1"/>
    </row>
    <row r="4" spans="1:5" x14ac:dyDescent="0.25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</row>
    <row r="5" spans="1:5" ht="63.75" x14ac:dyDescent="0.25">
      <c r="A5" s="4" t="s">
        <v>69</v>
      </c>
      <c r="B5" s="18" t="s">
        <v>70</v>
      </c>
      <c r="C5" s="7" t="s">
        <v>71</v>
      </c>
      <c r="D5" s="7" t="s">
        <v>72</v>
      </c>
      <c r="E5" s="7" t="s">
        <v>73</v>
      </c>
    </row>
    <row r="6" spans="1:5" ht="38.25" x14ac:dyDescent="0.25">
      <c r="A6" s="4" t="s">
        <v>74</v>
      </c>
      <c r="B6" s="18" t="s">
        <v>70</v>
      </c>
      <c r="C6" s="7" t="s">
        <v>75</v>
      </c>
      <c r="D6" s="7" t="s">
        <v>76</v>
      </c>
      <c r="E6" s="7" t="s">
        <v>77</v>
      </c>
    </row>
    <row r="7" spans="1:5" ht="51" x14ac:dyDescent="0.25">
      <c r="A7" s="4" t="s">
        <v>78</v>
      </c>
      <c r="B7" s="18" t="s">
        <v>70</v>
      </c>
      <c r="C7" s="7" t="s">
        <v>79</v>
      </c>
      <c r="D7" s="7" t="s">
        <v>80</v>
      </c>
      <c r="E7" s="7" t="s">
        <v>81</v>
      </c>
    </row>
    <row r="8" spans="1:5" ht="51" x14ac:dyDescent="0.25">
      <c r="A8" s="4" t="s">
        <v>82</v>
      </c>
      <c r="B8" s="12" t="s">
        <v>52</v>
      </c>
      <c r="C8" s="7" t="s">
        <v>79</v>
      </c>
      <c r="D8" s="7" t="s">
        <v>83</v>
      </c>
      <c r="E8" s="7" t="s">
        <v>84</v>
      </c>
    </row>
    <row r="9" spans="1:5" ht="51" x14ac:dyDescent="0.25">
      <c r="A9" s="4" t="s">
        <v>85</v>
      </c>
      <c r="B9" s="12" t="s">
        <v>52</v>
      </c>
      <c r="C9" s="7" t="s">
        <v>75</v>
      </c>
      <c r="D9" s="7" t="s">
        <v>86</v>
      </c>
      <c r="E9" s="7" t="s">
        <v>87</v>
      </c>
    </row>
    <row r="10" spans="1:5" ht="51" x14ac:dyDescent="0.25">
      <c r="A10" s="4" t="s">
        <v>88</v>
      </c>
      <c r="B10" s="4" t="s">
        <v>55</v>
      </c>
      <c r="C10" s="7" t="s">
        <v>89</v>
      </c>
      <c r="D10" s="7" t="s">
        <v>90</v>
      </c>
      <c r="E10" s="7" t="s">
        <v>91</v>
      </c>
    </row>
    <row r="11" spans="1:5" ht="38.25" x14ac:dyDescent="0.25">
      <c r="A11" s="4" t="s">
        <v>92</v>
      </c>
      <c r="B11" s="4" t="s">
        <v>55</v>
      </c>
      <c r="C11" s="7" t="s">
        <v>89</v>
      </c>
      <c r="D11" s="7" t="s">
        <v>93</v>
      </c>
      <c r="E11" s="7" t="s">
        <v>94</v>
      </c>
    </row>
    <row r="12" spans="1:5" ht="38.25" x14ac:dyDescent="0.25">
      <c r="A12" s="4" t="s">
        <v>95</v>
      </c>
      <c r="B12" s="4" t="s">
        <v>55</v>
      </c>
      <c r="C12" s="7" t="s">
        <v>96</v>
      </c>
      <c r="D12" s="7" t="s">
        <v>97</v>
      </c>
      <c r="E12" s="7" t="s">
        <v>98</v>
      </c>
    </row>
    <row r="13" spans="1:5" ht="38.25" x14ac:dyDescent="0.25">
      <c r="A13" s="4" t="s">
        <v>99</v>
      </c>
      <c r="B13" s="8" t="s">
        <v>60</v>
      </c>
      <c r="C13" s="7" t="s">
        <v>100</v>
      </c>
      <c r="D13" s="7" t="s">
        <v>101</v>
      </c>
      <c r="E13" s="7" t="s">
        <v>102</v>
      </c>
    </row>
    <row r="14" spans="1:5" ht="38.25" x14ac:dyDescent="0.25">
      <c r="A14" s="4" t="s">
        <v>103</v>
      </c>
      <c r="B14" s="8" t="s">
        <v>104</v>
      </c>
      <c r="C14" s="7" t="s">
        <v>71</v>
      </c>
      <c r="D14" s="7" t="s">
        <v>105</v>
      </c>
      <c r="E14" s="7" t="s">
        <v>106</v>
      </c>
    </row>
    <row r="16" spans="1:5" x14ac:dyDescent="0.25">
      <c r="A16" s="1" t="s">
        <v>107</v>
      </c>
      <c r="B16" s="1"/>
      <c r="C16" s="1"/>
      <c r="D16" s="1"/>
      <c r="E16" s="1"/>
    </row>
    <row r="17" spans="1:4" x14ac:dyDescent="0.25">
      <c r="A17" s="3" t="s">
        <v>108</v>
      </c>
      <c r="B17" s="3" t="s">
        <v>109</v>
      </c>
      <c r="C17" s="3" t="s">
        <v>110</v>
      </c>
      <c r="D17" s="3" t="s">
        <v>111</v>
      </c>
    </row>
    <row r="18" spans="1:4" ht="25.5" x14ac:dyDescent="0.25">
      <c r="A18" s="4" t="s">
        <v>112</v>
      </c>
      <c r="B18" s="4" t="s">
        <v>113</v>
      </c>
      <c r="C18" s="7" t="s">
        <v>114</v>
      </c>
      <c r="D18" s="8" t="s">
        <v>115</v>
      </c>
    </row>
    <row r="19" spans="1:4" ht="25.5" x14ac:dyDescent="0.25">
      <c r="A19" s="4" t="s">
        <v>36</v>
      </c>
      <c r="B19" s="4" t="s">
        <v>116</v>
      </c>
      <c r="C19" s="7" t="s">
        <v>117</v>
      </c>
      <c r="D19" s="18" t="s">
        <v>118</v>
      </c>
    </row>
    <row r="20" spans="1:4" ht="38.25" x14ac:dyDescent="0.25">
      <c r="A20" s="4" t="s">
        <v>119</v>
      </c>
      <c r="B20" s="4" t="s">
        <v>120</v>
      </c>
      <c r="C20" s="7" t="s">
        <v>121</v>
      </c>
      <c r="D20" s="18" t="s">
        <v>118</v>
      </c>
    </row>
    <row r="21" spans="1:4" ht="51" x14ac:dyDescent="0.25">
      <c r="A21" s="4" t="s">
        <v>122</v>
      </c>
      <c r="B21" s="4" t="s">
        <v>123</v>
      </c>
      <c r="C21" s="7" t="s">
        <v>124</v>
      </c>
      <c r="D21" s="18" t="s">
        <v>70</v>
      </c>
    </row>
    <row r="22" spans="1:4" ht="25.5" x14ac:dyDescent="0.25">
      <c r="A22" s="4" t="s">
        <v>125</v>
      </c>
      <c r="B22" s="4" t="s">
        <v>123</v>
      </c>
      <c r="C22" s="7" t="s">
        <v>126</v>
      </c>
      <c r="D22" s="12" t="s">
        <v>127</v>
      </c>
    </row>
    <row r="23" spans="1:4" ht="38.25" x14ac:dyDescent="0.25">
      <c r="A23" s="4" t="s">
        <v>128</v>
      </c>
      <c r="B23" s="4" t="s">
        <v>129</v>
      </c>
      <c r="C23" s="7" t="s">
        <v>130</v>
      </c>
      <c r="D23" s="8" t="s">
        <v>115</v>
      </c>
    </row>
    <row r="24" spans="1:4" ht="38.25" x14ac:dyDescent="0.25">
      <c r="A24" s="4" t="s">
        <v>131</v>
      </c>
      <c r="B24" s="4" t="s">
        <v>52</v>
      </c>
      <c r="C24" s="7" t="s">
        <v>132</v>
      </c>
      <c r="D24" s="18" t="s">
        <v>118</v>
      </c>
    </row>
  </sheetData>
  <mergeCells count="3">
    <mergeCell ref="A1:E1"/>
    <mergeCell ref="A2:E2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 Trends</vt:lpstr>
      <vt:lpstr>Rejection Trend</vt:lpstr>
      <vt:lpstr>Areas for 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Tan</cp:lastModifiedBy>
  <cp:revision>1</cp:revision>
  <dcterms:created xsi:type="dcterms:W3CDTF">2026-04-07T06:44:32Z</dcterms:created>
  <dcterms:modified xsi:type="dcterms:W3CDTF">2026-04-07T10:18:50Z</dcterms:modified>
  <dc:language>en-US</dc:language>
</cp:coreProperties>
</file>